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ame-dev\serious-projects\galactic-conquest\Assets\Resources\prototype\"/>
    </mc:Choice>
  </mc:AlternateContent>
  <xr:revisionPtr revIDLastSave="0" documentId="13_ncr:1_{13D1697B-CD66-4E58-823C-1C1ACC5C9F20}" xr6:coauthVersionLast="47" xr6:coauthVersionMax="47" xr10:uidLastSave="{00000000-0000-0000-0000-000000000000}"/>
  <bookViews>
    <workbookView xWindow="-16320" yWindow="-120" windowWidth="16440" windowHeight="28440" xr2:uid="{12405760-4DFD-4B09-8CD2-567F59C78F28}"/>
  </bookViews>
  <sheets>
    <sheet name="planets" sheetId="1" r:id="rId1"/>
    <sheet name="helper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2" l="1"/>
  <c r="L18" i="1"/>
  <c r="E13" i="1"/>
  <c r="E12" i="1"/>
  <c r="F6" i="2"/>
  <c r="F20" i="2" s="1"/>
  <c r="F7" i="2"/>
  <c r="F8" i="2"/>
  <c r="F9" i="2"/>
  <c r="F18" i="2" s="1"/>
  <c r="F5" i="2"/>
  <c r="F19" i="2"/>
  <c r="F16" i="2"/>
  <c r="F17" i="2"/>
  <c r="F21" i="2"/>
  <c r="G21" i="2" s="1"/>
  <c r="F22" i="2"/>
  <c r="G22" i="2" s="1"/>
  <c r="F23" i="2"/>
  <c r="G23" i="2" s="1"/>
  <c r="L23" i="1"/>
  <c r="L24" i="1"/>
  <c r="G13" i="2"/>
  <c r="L25" i="1"/>
  <c r="L26" i="1"/>
  <c r="L27" i="1"/>
  <c r="L28" i="1"/>
  <c r="L29" i="1"/>
  <c r="L30" i="1"/>
  <c r="L31" i="1"/>
  <c r="L32" i="1"/>
  <c r="L33" i="1"/>
  <c r="L34" i="1"/>
  <c r="G12" i="2"/>
  <c r="G11" i="2"/>
  <c r="F24" i="1"/>
  <c r="G24" i="1" s="1"/>
  <c r="H24" i="1" s="1"/>
  <c r="F19" i="1"/>
  <c r="G19" i="1" s="1"/>
  <c r="H19" i="1" s="1"/>
  <c r="F20" i="1"/>
  <c r="G20" i="1" s="1"/>
  <c r="H20" i="1" s="1"/>
  <c r="F23" i="1"/>
  <c r="G23" i="1" s="1"/>
  <c r="H23" i="1" s="1"/>
  <c r="F22" i="1"/>
  <c r="G22" i="1" s="1"/>
  <c r="H22" i="1" s="1"/>
  <c r="F26" i="1"/>
  <c r="G26" i="1" s="1"/>
  <c r="H26" i="1" s="1"/>
  <c r="F21" i="1"/>
  <c r="G21" i="1" s="1"/>
  <c r="H21" i="1" s="1"/>
  <c r="F27" i="1"/>
  <c r="G27" i="1" s="1"/>
  <c r="H27" i="1" s="1"/>
  <c r="F28" i="1"/>
  <c r="G28" i="1" s="1"/>
  <c r="H28" i="1" s="1"/>
  <c r="F30" i="1"/>
  <c r="G30" i="1" s="1"/>
  <c r="H30" i="1" s="1"/>
  <c r="F31" i="1"/>
  <c r="G31" i="1" s="1"/>
  <c r="H31" i="1" s="1"/>
  <c r="F32" i="1"/>
  <c r="G32" i="1" s="1"/>
  <c r="H32" i="1" s="1"/>
  <c r="F34" i="1"/>
  <c r="G34" i="1" s="1"/>
  <c r="H34" i="1" s="1"/>
  <c r="F25" i="1"/>
  <c r="G25" i="1" s="1"/>
  <c r="H25" i="1" s="1"/>
  <c r="F29" i="1"/>
  <c r="G29" i="1" s="1"/>
  <c r="H29" i="1" s="1"/>
  <c r="F33" i="1"/>
  <c r="G33" i="1" s="1"/>
  <c r="H33" i="1" s="1"/>
  <c r="F15" i="2" l="1"/>
  <c r="G15" i="2" s="1"/>
  <c r="F14" i="2"/>
  <c r="G14" i="2" s="1"/>
  <c r="G16" i="2"/>
  <c r="G20" i="2"/>
  <c r="G13" i="1"/>
  <c r="H13" i="1" s="1"/>
  <c r="G12" i="1"/>
  <c r="H12" i="1" s="1"/>
  <c r="G17" i="2"/>
  <c r="G19" i="2"/>
  <c r="G18" i="2"/>
  <c r="L21" i="1"/>
  <c r="L22" i="1" l="1"/>
  <c r="L20" i="1"/>
  <c r="M18" i="1" l="1"/>
</calcChain>
</file>

<file path=xl/sharedStrings.xml><?xml version="1.0" encoding="utf-8"?>
<sst xmlns="http://schemas.openxmlformats.org/spreadsheetml/2006/main" count="96" uniqueCount="62">
  <si>
    <t>Planet</t>
  </si>
  <si>
    <t>Type</t>
  </si>
  <si>
    <t>Owner</t>
  </si>
  <si>
    <t>Mustafar</t>
  </si>
  <si>
    <t>Geonosis</t>
  </si>
  <si>
    <t>Dagobah</t>
  </si>
  <si>
    <t>Felucia</t>
  </si>
  <si>
    <t>Tatooine</t>
  </si>
  <si>
    <t>Yavin 4</t>
  </si>
  <si>
    <t>Death Star</t>
  </si>
  <si>
    <t>Coruscant</t>
  </si>
  <si>
    <t>Kamino</t>
  </si>
  <si>
    <t>Polis Massa</t>
  </si>
  <si>
    <t>Kashyyyk</t>
  </si>
  <si>
    <t>Mygeeto</t>
  </si>
  <si>
    <t>Rhen Var</t>
  </si>
  <si>
    <t>Utapau</t>
  </si>
  <si>
    <t>Bespin</t>
  </si>
  <si>
    <t>Naboo</t>
  </si>
  <si>
    <t>Capital</t>
  </si>
  <si>
    <t>Production Hub</t>
  </si>
  <si>
    <t>Stronghold</t>
  </si>
  <si>
    <t>CIS</t>
  </si>
  <si>
    <t>Base Planet AP Per Turn</t>
  </si>
  <si>
    <t>AP Generation</t>
  </si>
  <si>
    <t>AP Costs</t>
  </si>
  <si>
    <t>Fleet Per Turn</t>
  </si>
  <si>
    <t>Movement Rings</t>
  </si>
  <si>
    <t>Base Movement Cost</t>
  </si>
  <si>
    <t>AP Per Turn</t>
  </si>
  <si>
    <t>AP Bonus</t>
  </si>
  <si>
    <t>AP Bonuses</t>
  </si>
  <si>
    <t>Shipyard</t>
  </si>
  <si>
    <t>Republic</t>
  </si>
  <si>
    <t>Action</t>
  </si>
  <si>
    <t>Cost</t>
  </si>
  <si>
    <t>Fleets</t>
  </si>
  <si>
    <t>Faction Stats</t>
  </si>
  <si>
    <t>AP</t>
  </si>
  <si>
    <t>Faction</t>
  </si>
  <si>
    <t>Gross AP</t>
  </si>
  <si>
    <t>Net AP</t>
  </si>
  <si>
    <t>Action Costs</t>
  </si>
  <si>
    <t>Build Fleet</t>
  </si>
  <si>
    <t>Fortify Planet</t>
  </si>
  <si>
    <t>Move 1</t>
  </si>
  <si>
    <t>Move 2</t>
  </si>
  <si>
    <t>Move 3</t>
  </si>
  <si>
    <t>Move 4</t>
  </si>
  <si>
    <t>Move 5</t>
  </si>
  <si>
    <t>Attack</t>
  </si>
  <si>
    <t>Hyperspace Move 1</t>
  </si>
  <si>
    <t>Hyperspace Move 2</t>
  </si>
  <si>
    <t>Hyperspace Move 3</t>
  </si>
  <si>
    <t>Hyperspace Move 4</t>
  </si>
  <si>
    <t>Hyperspace Move 5</t>
  </si>
  <si>
    <t>Graph</t>
  </si>
  <si>
    <t>Rollover</t>
  </si>
  <si>
    <t>Rollover AP</t>
  </si>
  <si>
    <t>Rollover %</t>
  </si>
  <si>
    <t>AP Rollover</t>
  </si>
  <si>
    <t>Fleet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</si>
</sst>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3F3F76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6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2F2F2"/>
      </patternFill>
    </fill>
  </fills>
  <borders count="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0" tint="-0.34998626667073579"/>
      </top>
      <bottom/>
      <diagonal/>
    </border>
    <border>
      <left/>
      <right/>
      <top/>
      <bottom style="thin">
        <color theme="0" tint="-0.34998626667073579"/>
      </bottom>
      <diagonal/>
    </border>
  </borders>
  <cellStyleXfs count="8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  <xf numFmtId="0" fontId="3" fillId="0" borderId="3" applyNumberFormat="0" applyFill="0" applyAlignment="0" applyProtection="0"/>
    <xf numFmtId="0" fontId="4" fillId="2" borderId="4" applyNumberFormat="0" applyAlignment="0" applyProtection="0"/>
    <xf numFmtId="0" fontId="6" fillId="4" borderId="4" applyNumberFormat="0" applyAlignment="0" applyProtection="0"/>
    <xf numFmtId="0" fontId="7" fillId="0" borderId="0" applyNumberFormat="0" applyFill="0" applyBorder="0" applyAlignment="0" applyProtection="0"/>
    <xf numFmtId="9" fontId="9" fillId="0" borderId="0" applyFont="0" applyFill="0" applyBorder="0" applyAlignment="0" applyProtection="0"/>
  </cellStyleXfs>
  <cellXfs count="21">
    <xf numFmtId="0" fontId="0" fillId="0" borderId="0" xfId="0"/>
    <xf numFmtId="0" fontId="4" fillId="2" borderId="4" xfId="4"/>
    <xf numFmtId="0" fontId="2" fillId="0" borderId="2" xfId="2" applyFill="1"/>
    <xf numFmtId="0" fontId="0" fillId="3" borderId="0" xfId="0" applyFill="1"/>
    <xf numFmtId="0" fontId="1" fillId="0" borderId="1" xfId="1" applyFill="1"/>
    <xf numFmtId="0" fontId="2" fillId="0" borderId="2" xfId="2" applyFill="1" applyAlignment="1"/>
    <xf numFmtId="0" fontId="1" fillId="0" borderId="1" xfId="1" applyFill="1" applyAlignment="1">
      <alignment horizontal="left"/>
    </xf>
    <xf numFmtId="0" fontId="3" fillId="0" borderId="3" xfId="3" applyFill="1"/>
    <xf numFmtId="0" fontId="6" fillId="4" borderId="4" xfId="5"/>
    <xf numFmtId="0" fontId="7" fillId="4" borderId="5" xfId="6" applyFill="1" applyBorder="1"/>
    <xf numFmtId="0" fontId="1" fillId="0" borderId="0" xfId="1" applyFill="1" applyBorder="1"/>
    <xf numFmtId="0" fontId="2" fillId="0" borderId="2" xfId="2"/>
    <xf numFmtId="0" fontId="8" fillId="3" borderId="0" xfId="0" applyFont="1" applyFill="1" applyAlignment="1">
      <alignment vertical="center" wrapText="1"/>
    </xf>
    <xf numFmtId="9" fontId="0" fillId="0" borderId="0" xfId="7" applyFont="1"/>
    <xf numFmtId="0" fontId="8" fillId="3" borderId="6" xfId="0" applyFont="1" applyFill="1" applyBorder="1" applyAlignment="1">
      <alignment horizontal="center" vertical="center" wrapText="1"/>
    </xf>
    <xf numFmtId="0" fontId="8" fillId="3" borderId="0" xfId="0" applyFont="1" applyFill="1" applyAlignment="1">
      <alignment horizontal="center" vertical="center" wrapText="1"/>
    </xf>
    <xf numFmtId="0" fontId="8" fillId="3" borderId="7" xfId="0" applyFont="1" applyFill="1" applyBorder="1" applyAlignment="1">
      <alignment horizontal="center" vertical="center" wrapText="1"/>
    </xf>
    <xf numFmtId="0" fontId="1" fillId="0" borderId="1" xfId="1" applyFill="1" applyAlignment="1">
      <alignment horizontal="center"/>
    </xf>
    <xf numFmtId="0" fontId="1" fillId="0" borderId="1" xfId="1" applyAlignment="1">
      <alignment horizontal="center"/>
    </xf>
    <xf numFmtId="0" fontId="2" fillId="0" borderId="2" xfId="2" applyAlignment="1">
      <alignment horizontal="center"/>
    </xf>
    <xf numFmtId="0" fontId="0" fillId="0" borderId="0" xfId="0"/>
  </cellXfs>
  <cellStyles count="8">
    <cellStyle name="Calculation" xfId="5" builtinId="22"/>
    <cellStyle name="Explanatory Text" xfId="6" builtinId="53"/>
    <cellStyle name="Heading 1" xfId="1" builtinId="16"/>
    <cellStyle name="Heading 2" xfId="2" builtinId="17"/>
    <cellStyle name="Heading 3" xfId="3" builtinId="18"/>
    <cellStyle name="Input" xfId="4" builtinId="20"/>
    <cellStyle name="Normal" xfId="0" builtinId="0"/>
    <cellStyle name="Percent" xfId="7" builtinId="5"/>
  </cellStyles>
  <dxfs count="17">
    <dxf>
      <numFmt numFmtId="0" formatCode="General"/>
    </dxf>
    <dxf>
      <fill>
        <patternFill patternType="none">
          <fgColor indexed="64"/>
          <bgColor auto="1"/>
        </patternFill>
      </fill>
    </dxf>
    <dxf>
      <border outline="0">
        <top style="thick">
          <color theme="4"/>
        </top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1" tint="0.34998626667073579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color theme="0"/>
      </font>
      <fill>
        <patternFill>
          <bgColor rgb="FF0092E3"/>
        </patternFill>
      </fill>
    </dxf>
    <dxf>
      <font>
        <color theme="0"/>
      </font>
      <fill>
        <patternFill>
          <bgColor rgb="FFC8AA11"/>
        </patternFill>
      </fill>
    </dxf>
    <dxf>
      <font>
        <color theme="0"/>
      </font>
      <fill>
        <patternFill>
          <bgColor rgb="FFC8AA11"/>
        </patternFill>
      </fill>
    </dxf>
    <dxf>
      <font>
        <color theme="0"/>
      </font>
      <fill>
        <patternFill>
          <bgColor rgb="FF0092E3"/>
        </patternFill>
      </fill>
    </dxf>
  </dxfs>
  <tableStyles count="0" defaultTableStyle="TableStyleMedium2" defaultPivotStyle="PivotStyleLight16"/>
  <colors>
    <mruColors>
      <color rgb="FF0092E3"/>
      <color rgb="FFC8AA1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13</xdr:row>
          <xdr:rowOff>133350</xdr:rowOff>
        </xdr:from>
        <xdr:to>
          <xdr:col>12</xdr:col>
          <xdr:colOff>752475</xdr:colOff>
          <xdr:row>15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Aptos Narrow"/>
                </a:rPr>
                <a:t>Next Turn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FC29CB-4DC5-442E-BA4D-B2141F20993A}" name="Table1" displayName="Table1" ref="C18:H34" totalsRowShown="0" headerRowDxfId="12" dataDxfId="11" headerRowCellStyle="Heading 1">
  <autoFilter ref="C18:H34" xr:uid="{0AFC29CB-4DC5-442E-BA4D-B2141F20993A}"/>
  <sortState xmlns:xlrd2="http://schemas.microsoft.com/office/spreadsheetml/2017/richdata2" ref="C19:H34">
    <sortCondition ref="E18:E34"/>
  </sortState>
  <tableColumns count="6">
    <tableColumn id="1" xr3:uid="{B9A50FAC-09E0-4C90-9663-AA7F9EBAA872}" name="Planet" dataDxfId="10"/>
    <tableColumn id="2" xr3:uid="{E5DD24AB-3D42-4B5E-9619-E72E393AB229}" name="Type" dataDxfId="9"/>
    <tableColumn id="3" xr3:uid="{E16B9B87-9ECD-4B4C-B434-A79FD0410329}" name="Owner" dataDxfId="8"/>
    <tableColumn id="4" xr3:uid="{A83F0429-71C9-43A2-8F7C-544B7D841698}" name="AP Bonus" dataDxfId="7">
      <calculatedColumnFormula>INDEX(helper!$B$4:$B$7, MATCH(Table1[[#This Row],[Type]], helper!$A$4:$A$7, 0), 1)</calculatedColumnFormula>
    </tableColumn>
    <tableColumn id="5" xr3:uid="{999BF857-E3A4-4D84-AEF4-7750A2D18DB9}" name="AP Per Turn" dataDxfId="6">
      <calculatedColumnFormula>helper!$B$2+Table1[[#This Row],[AP Bonus]]</calculatedColumnFormula>
    </tableColumn>
    <tableColumn id="6" xr3:uid="{00700ED7-ED80-428B-9D41-E004B4AFF733}" name="Graph" dataDxfId="5">
      <calculatedColumnFormula>Table1[[#This Row],[AP Per Turn]]*IF(Table1[[#This Row],[Owner]]="Republic", 1, -1)</calculatedColumnFormula>
    </tableColumn>
  </tableColumns>
  <tableStyleInfo name="TableStyleMedium2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36B34C7-A211-42ED-849D-C47C2F985E6A}" name="Table2" displayName="Table2" ref="K19:L34" totalsRowShown="0" headerRowDxfId="4" dataDxfId="3" tableBorderDxfId="2" headerRowCellStyle="Heading 3">
  <autoFilter ref="K19:L34" xr:uid="{A36B34C7-A211-42ED-849D-C47C2F985E6A}"/>
  <tableColumns count="2">
    <tableColumn id="1" xr3:uid="{EC5B3A70-1D20-4BA2-8DC3-9004048BDA9B}" name="Action" dataDxfId="1"/>
    <tableColumn id="2" xr3:uid="{96BCA47A-DE7E-431F-818A-E58AB3974327}" name="Cost" dataDxfId="0" dataCellStyle="Calculation">
      <calculatedColumnFormula>IF(LEN(Table2[[#This Row],[Action]])=0, "", INDEX(helper!$F$11:$F$25, MATCH(Table2[[#This Row],[Action]], helper!$G$11:$G$25, 0), 1))</calculatedColumnFormula>
    </tableColumn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6E9F0-C0D7-4544-BA97-7C1D805F96FA}">
  <sheetPr codeName="planetSheet">
    <pageSetUpPr autoPageBreaks="0"/>
  </sheetPr>
  <dimension ref="A1:AM100"/>
  <sheetViews>
    <sheetView tabSelected="1" topLeftCell="A7" zoomScaleNormal="100" workbookViewId="0">
      <selection activeCell="F46" sqref="F46"/>
    </sheetView>
  </sheetViews>
  <sheetFormatPr defaultRowHeight="15" x14ac:dyDescent="0.25"/>
  <cols>
    <col min="1" max="2" width="4.7109375" customWidth="1"/>
    <col min="3" max="3" width="11.7109375" bestFit="1" customWidth="1"/>
    <col min="4" max="4" width="14.85546875" bestFit="1" customWidth="1"/>
    <col min="5" max="5" width="11.42578125" bestFit="1" customWidth="1"/>
    <col min="6" max="6" width="14.7109375" bestFit="1" customWidth="1"/>
    <col min="7" max="7" width="17.42578125" bestFit="1" customWidth="1"/>
    <col min="8" max="8" width="15.42578125" customWidth="1"/>
    <col min="9" max="10" width="4.7109375" customWidth="1"/>
    <col min="11" max="11" width="22" bestFit="1" customWidth="1"/>
    <col min="13" max="13" width="11.5703125" customWidth="1"/>
    <col min="14" max="14" width="19.28515625" bestFit="1" customWidth="1"/>
  </cols>
  <sheetData>
    <row r="1" spans="1:39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</row>
    <row r="2" spans="1:39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</row>
    <row r="3" spans="1:39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</row>
    <row r="4" spans="1:39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39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39" ht="22.5" customHeight="1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14"/>
      <c r="L6" s="14"/>
      <c r="M6" s="14"/>
      <c r="N6" s="14"/>
      <c r="O6" s="14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39" ht="54.75" customHeight="1" x14ac:dyDescent="0.25">
      <c r="A7" s="3"/>
      <c r="B7" s="3"/>
      <c r="C7" s="3"/>
      <c r="D7" s="3"/>
      <c r="E7" s="3"/>
      <c r="F7" s="3"/>
      <c r="G7" s="3"/>
      <c r="H7" s="3"/>
      <c r="I7" s="3"/>
      <c r="J7" s="12"/>
      <c r="K7" s="15"/>
      <c r="L7" s="15"/>
      <c r="M7" s="15"/>
      <c r="N7" s="15"/>
      <c r="O7" s="15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5" customHeight="1" x14ac:dyDescent="0.25">
      <c r="A8" s="3"/>
      <c r="B8" s="3"/>
      <c r="C8" s="3"/>
      <c r="D8" s="3"/>
      <c r="E8" s="3"/>
      <c r="F8" s="3"/>
      <c r="G8" s="3"/>
      <c r="H8" s="3"/>
      <c r="I8" s="12"/>
      <c r="J8" s="12"/>
      <c r="K8" s="15"/>
      <c r="L8" s="15"/>
      <c r="M8" s="15"/>
      <c r="N8" s="15"/>
      <c r="O8" s="15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</row>
    <row r="9" spans="1:39" ht="15" customHeight="1" x14ac:dyDescent="0.25">
      <c r="A9" s="3"/>
      <c r="B9" s="3"/>
      <c r="C9" s="3"/>
      <c r="D9" s="3"/>
      <c r="E9" s="3"/>
      <c r="F9" s="3"/>
      <c r="G9" s="3"/>
      <c r="H9" s="3"/>
      <c r="I9" s="12"/>
      <c r="J9" s="12"/>
      <c r="K9" s="15"/>
      <c r="L9" s="15"/>
      <c r="M9" s="15"/>
      <c r="N9" s="15"/>
      <c r="O9" s="15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</row>
    <row r="10" spans="1:39" ht="20.25" customHeight="1" thickBot="1" x14ac:dyDescent="0.35">
      <c r="A10" s="3"/>
      <c r="B10" s="3"/>
      <c r="C10" s="17" t="s">
        <v>37</v>
      </c>
      <c r="D10" s="17"/>
      <c r="E10" s="17"/>
      <c r="F10" s="17"/>
      <c r="G10" s="17"/>
      <c r="H10" s="3"/>
      <c r="I10" s="12"/>
      <c r="J10" s="12"/>
      <c r="K10" s="15"/>
      <c r="L10" s="15"/>
      <c r="M10" s="15"/>
      <c r="N10" s="15"/>
      <c r="O10" s="15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</row>
    <row r="11" spans="1:39" ht="18.75" customHeight="1" thickTop="1" thickBot="1" x14ac:dyDescent="0.35">
      <c r="A11" s="3"/>
      <c r="B11" s="3"/>
      <c r="C11" s="2" t="s">
        <v>39</v>
      </c>
      <c r="D11" s="2" t="s">
        <v>36</v>
      </c>
      <c r="E11" s="2" t="s">
        <v>61</v>
      </c>
      <c r="F11" s="5" t="s">
        <v>58</v>
      </c>
      <c r="G11" s="5" t="s">
        <v>40</v>
      </c>
      <c r="H11" s="5" t="s">
        <v>41</v>
      </c>
      <c r="I11" s="12"/>
      <c r="J11" s="12"/>
      <c r="K11" s="15"/>
      <c r="L11" s="15"/>
      <c r="M11" s="15"/>
      <c r="N11" s="15"/>
      <c r="O11" s="15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</row>
    <row r="12" spans="1:39" ht="15.75" customHeight="1" thickTop="1" x14ac:dyDescent="0.25">
      <c r="A12" s="3"/>
      <c r="B12" s="3"/>
      <c r="C12" t="s">
        <v>33</v>
      </c>
      <c r="D12" s="1">
        <v>2</v>
      </c>
      <c r="E12">
        <f>D12*helper!$F$3</f>
        <v>-10</v>
      </c>
      <c r="F12">
        <v>0</v>
      </c>
      <c r="G12">
        <f>SUMIF(Table1[Owner], $C12, Table1[AP Per Turn])+$F12</f>
        <v>58</v>
      </c>
      <c r="H12">
        <f>SUM(E12:G12)</f>
        <v>48</v>
      </c>
      <c r="I12" s="12"/>
      <c r="J12" s="12"/>
      <c r="K12" s="15"/>
      <c r="L12" s="15"/>
      <c r="M12" s="15"/>
      <c r="N12" s="15"/>
      <c r="O12" s="15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</row>
    <row r="13" spans="1:39" ht="15" customHeight="1" x14ac:dyDescent="0.25">
      <c r="A13" s="3"/>
      <c r="B13" s="3"/>
      <c r="C13" t="s">
        <v>22</v>
      </c>
      <c r="D13" s="1">
        <v>1</v>
      </c>
      <c r="E13">
        <f>D13*helper!$F$3</f>
        <v>-5</v>
      </c>
      <c r="F13">
        <v>0</v>
      </c>
      <c r="G13">
        <f>SUMIF(Table1[Owner], $C13, Table1[AP Per Turn])+$F13</f>
        <v>58</v>
      </c>
      <c r="H13">
        <f>SUM(E13:G13)</f>
        <v>53</v>
      </c>
      <c r="I13" s="12"/>
      <c r="J13" s="12"/>
      <c r="K13" s="16"/>
      <c r="L13" s="16"/>
      <c r="M13" s="16"/>
      <c r="N13" s="16"/>
      <c r="O13" s="16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</row>
    <row r="14" spans="1:39" ht="15" customHeight="1" x14ac:dyDescent="0.25">
      <c r="A14" s="3"/>
      <c r="B14" s="3"/>
      <c r="C14" s="3"/>
      <c r="D14" s="3"/>
      <c r="E14" s="3"/>
      <c r="F14" s="3"/>
      <c r="G14" s="3"/>
      <c r="H14" s="3"/>
      <c r="I14" s="12"/>
      <c r="J14" s="12"/>
      <c r="K14" s="12"/>
      <c r="L14" s="12"/>
      <c r="M14" s="12"/>
      <c r="N14" s="12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</row>
    <row r="15" spans="1:39" ht="15" customHeight="1" x14ac:dyDescent="0.25">
      <c r="A15" s="3"/>
      <c r="B15" s="3"/>
      <c r="C15" s="3"/>
      <c r="D15" s="3"/>
      <c r="E15" s="3"/>
      <c r="F15" s="3"/>
      <c r="G15" s="3"/>
      <c r="H15" s="3"/>
      <c r="I15" s="12"/>
      <c r="J15" s="12"/>
      <c r="K15" s="12"/>
      <c r="L15" s="12"/>
      <c r="M15" s="12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</row>
    <row r="16" spans="1:39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</row>
    <row r="17" spans="1:39" ht="20.25" thickBot="1" x14ac:dyDescent="0.35">
      <c r="A17" s="3"/>
      <c r="B17" s="3"/>
      <c r="C17" s="3"/>
      <c r="D17" s="3"/>
      <c r="E17" s="3"/>
      <c r="F17" s="3"/>
      <c r="G17" s="3"/>
      <c r="H17" s="3"/>
      <c r="I17" s="3"/>
      <c r="J17" s="3"/>
      <c r="K17" s="6" t="s">
        <v>39</v>
      </c>
      <c r="L17" s="6" t="s">
        <v>38</v>
      </c>
      <c r="M17" s="6" t="s">
        <v>57</v>
      </c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</row>
    <row r="18" spans="1:39" ht="21" thickTop="1" thickBot="1" x14ac:dyDescent="0.35">
      <c r="A18" s="3"/>
      <c r="B18" s="3"/>
      <c r="C18" s="4" t="s">
        <v>0</v>
      </c>
      <c r="D18" s="4" t="s">
        <v>1</v>
      </c>
      <c r="E18" s="4" t="s">
        <v>2</v>
      </c>
      <c r="F18" s="4" t="s">
        <v>30</v>
      </c>
      <c r="G18" s="4" t="s">
        <v>29</v>
      </c>
      <c r="H18" s="10" t="s">
        <v>56</v>
      </c>
      <c r="I18" s="3"/>
      <c r="J18" s="3"/>
      <c r="K18" s="5" t="s">
        <v>33</v>
      </c>
      <c r="L18" s="5">
        <f>58-SUM($L$20:$L$34)</f>
        <v>58</v>
      </c>
      <c r="M18" s="5">
        <f>ROUNDDOWN($L$18*helper!$B$9, 0)</f>
        <v>29</v>
      </c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</row>
    <row r="19" spans="1:39" ht="16.5" thickTop="1" thickBot="1" x14ac:dyDescent="0.3">
      <c r="A19" s="3"/>
      <c r="B19" s="3"/>
      <c r="C19" t="s">
        <v>3</v>
      </c>
      <c r="D19" t="s">
        <v>19</v>
      </c>
      <c r="E19" t="s">
        <v>22</v>
      </c>
      <c r="F19">
        <f>INDEX(helper!$B$4:$B$7, MATCH(Table1[[#This Row],[Type]], helper!$A$4:$A$7, 0), 1)</f>
        <v>7</v>
      </c>
      <c r="G19">
        <f>helper!$B$2+Table1[[#This Row],[AP Bonus]]</f>
        <v>12</v>
      </c>
      <c r="H19" s="3">
        <f>Table1[[#This Row],[AP Per Turn]]*IF(Table1[[#This Row],[Owner]]="Republic", 1, -1)</f>
        <v>-12</v>
      </c>
      <c r="I19" s="3"/>
      <c r="J19" s="3"/>
      <c r="K19" s="7" t="s">
        <v>34</v>
      </c>
      <c r="L19" s="7" t="s">
        <v>35</v>
      </c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</row>
    <row r="20" spans="1:39" x14ac:dyDescent="0.25">
      <c r="A20" s="3"/>
      <c r="B20" s="3"/>
      <c r="C20" t="s">
        <v>4</v>
      </c>
      <c r="D20" t="s">
        <v>20</v>
      </c>
      <c r="E20" t="s">
        <v>22</v>
      </c>
      <c r="F20">
        <f>INDEX(helper!$B$4:$B$7, MATCH(Table1[[#This Row],[Type]], helper!$A$4:$A$7, 0), 1)</f>
        <v>5</v>
      </c>
      <c r="G20">
        <f>helper!$B$2+Table1[[#This Row],[AP Bonus]]</f>
        <v>10</v>
      </c>
      <c r="H20" s="3">
        <f>Table1[[#This Row],[AP Per Turn]]*IF(Table1[[#This Row],[Owner]]="Republic", 1, -1)</f>
        <v>-10</v>
      </c>
      <c r="I20" s="3"/>
      <c r="J20" s="3"/>
      <c r="L20" s="8" t="str">
        <f>IF(LEN(Table2[[#This Row],[Action]])=0, "", INDEX(helper!$F$11:$F$25, MATCH(Table2[[#This Row],[Action]], helper!$G$11:$G$25, 0), 1))</f>
        <v/>
      </c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</row>
    <row r="21" spans="1:39" x14ac:dyDescent="0.25">
      <c r="A21" s="3"/>
      <c r="B21" s="3"/>
      <c r="C21" t="s">
        <v>9</v>
      </c>
      <c r="D21" t="s">
        <v>32</v>
      </c>
      <c r="E21" t="s">
        <v>22</v>
      </c>
      <c r="F21">
        <f>INDEX(helper!$B$4:$B$7, MATCH(Table1[[#This Row],[Type]], helper!$A$4:$A$7, 0), 1)</f>
        <v>3</v>
      </c>
      <c r="G21">
        <f>helper!$B$2+Table1[[#This Row],[AP Bonus]]</f>
        <v>8</v>
      </c>
      <c r="H21" s="3">
        <f>Table1[[#This Row],[AP Per Turn]]*IF(Table1[[#This Row],[Owner]]="Republic", 1, -1)</f>
        <v>-8</v>
      </c>
      <c r="I21" s="3"/>
      <c r="J21" s="3"/>
      <c r="L21" s="8" t="str">
        <f>IF(LEN(Table2[[#This Row],[Action]])=0, "", INDEX(helper!$F$11:$F$25, MATCH(Table2[[#This Row],[Action]], helper!$G$11:$G$25, 0), 1))</f>
        <v/>
      </c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</row>
    <row r="22" spans="1:39" x14ac:dyDescent="0.25">
      <c r="A22" s="3"/>
      <c r="B22" s="3"/>
      <c r="C22" t="s">
        <v>6</v>
      </c>
      <c r="D22" t="s">
        <v>32</v>
      </c>
      <c r="E22" t="s">
        <v>22</v>
      </c>
      <c r="F22">
        <f>INDEX(helper!$B$4:$B$7, MATCH(Table1[[#This Row],[Type]], helper!$A$4:$A$7, 0), 1)</f>
        <v>3</v>
      </c>
      <c r="G22">
        <f>helper!$B$2+Table1[[#This Row],[AP Bonus]]</f>
        <v>8</v>
      </c>
      <c r="H22" s="3">
        <f>Table1[[#This Row],[AP Per Turn]]*IF(Table1[[#This Row],[Owner]]="Republic", 1, -1)</f>
        <v>-8</v>
      </c>
      <c r="I22" s="3"/>
      <c r="J22" s="3"/>
      <c r="L22" s="8" t="str">
        <f>IF(LEN(Table2[[#This Row],[Action]])=0, "", INDEX(helper!$F$11:$F$25, MATCH(Table2[[#This Row],[Action]], helper!$G$11:$G$25, 0), 1))</f>
        <v/>
      </c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</row>
    <row r="23" spans="1:39" x14ac:dyDescent="0.25">
      <c r="A23" s="3"/>
      <c r="B23" s="3"/>
      <c r="C23" t="s">
        <v>5</v>
      </c>
      <c r="D23" t="s">
        <v>21</v>
      </c>
      <c r="E23" t="s">
        <v>22</v>
      </c>
      <c r="F23">
        <f>INDEX(helper!$B$4:$B$7, MATCH(Table1[[#This Row],[Type]], helper!$A$4:$A$7, 0), 1)</f>
        <v>0</v>
      </c>
      <c r="G23">
        <f>helper!$B$2+Table1[[#This Row],[AP Bonus]]</f>
        <v>5</v>
      </c>
      <c r="H23" s="3">
        <f>Table1[[#This Row],[AP Per Turn]]*IF(Table1[[#This Row],[Owner]]="Republic", 1, -1)</f>
        <v>-5</v>
      </c>
      <c r="I23" s="3"/>
      <c r="J23" s="3"/>
      <c r="L23" s="8" t="str">
        <f>IF(LEN(Table2[[#This Row],[Action]])=0, "", INDEX(helper!$F$11:$F$25, MATCH(Table2[[#This Row],[Action]], helper!$G$11:$G$25, 0), 1))</f>
        <v/>
      </c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</row>
    <row r="24" spans="1:39" x14ac:dyDescent="0.25">
      <c r="A24" s="3"/>
      <c r="B24" s="3"/>
      <c r="C24" t="s">
        <v>7</v>
      </c>
      <c r="D24" t="s">
        <v>21</v>
      </c>
      <c r="E24" t="s">
        <v>22</v>
      </c>
      <c r="F24">
        <f>INDEX(helper!$B$4:$B$7, MATCH(Table1[[#This Row],[Type]], helper!$A$4:$A$7, 0), 1)</f>
        <v>0</v>
      </c>
      <c r="G24">
        <f>helper!$B$2+Table1[[#This Row],[AP Bonus]]</f>
        <v>5</v>
      </c>
      <c r="H24" s="3">
        <f>Table1[[#This Row],[AP Per Turn]]*IF(Table1[[#This Row],[Owner]]="Republic", 1, -1)</f>
        <v>-5</v>
      </c>
      <c r="I24" s="3"/>
      <c r="J24" s="3"/>
      <c r="L24" s="8" t="str">
        <f>IF(LEN(Table2[[#This Row],[Action]])=0, "", INDEX(helper!$F$11:$F$25, MATCH(Table2[[#This Row],[Action]], helper!$G$11:$G$25, 0), 1))</f>
        <v/>
      </c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</row>
    <row r="25" spans="1:39" x14ac:dyDescent="0.25">
      <c r="A25" s="3"/>
      <c r="B25" s="3"/>
      <c r="C25" t="s">
        <v>16</v>
      </c>
      <c r="D25" t="s">
        <v>21</v>
      </c>
      <c r="E25" t="s">
        <v>22</v>
      </c>
      <c r="F25">
        <f>INDEX(helper!$B$4:$B$7, MATCH(Table1[[#This Row],[Type]], helper!$A$4:$A$7, 0), 1)</f>
        <v>0</v>
      </c>
      <c r="G25">
        <f>helper!$B$2+Table1[[#This Row],[AP Bonus]]</f>
        <v>5</v>
      </c>
      <c r="H25" s="3">
        <f>Table1[[#This Row],[AP Per Turn]]*IF(Table1[[#This Row],[Owner]]="Republic", 1, -1)</f>
        <v>-5</v>
      </c>
      <c r="I25" s="3"/>
      <c r="J25" s="3"/>
      <c r="L25" s="8" t="str">
        <f>IF(LEN(Table2[[#This Row],[Action]])=0, "", INDEX(helper!$F$11:$F$25, MATCH(Table2[[#This Row],[Action]], helper!$G$11:$G$25, 0), 1))</f>
        <v/>
      </c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</row>
    <row r="26" spans="1:39" x14ac:dyDescent="0.25">
      <c r="A26" s="3"/>
      <c r="B26" s="3"/>
      <c r="C26" t="s">
        <v>8</v>
      </c>
      <c r="D26" t="s">
        <v>21</v>
      </c>
      <c r="E26" t="s">
        <v>22</v>
      </c>
      <c r="F26">
        <f>INDEX(helper!$B$4:$B$7, MATCH(Table1[[#This Row],[Type]], helper!$A$4:$A$7, 0), 1)</f>
        <v>0</v>
      </c>
      <c r="G26">
        <f>helper!$B$2+Table1[[#This Row],[AP Bonus]]</f>
        <v>5</v>
      </c>
      <c r="H26" s="3">
        <f>Table1[[#This Row],[AP Per Turn]]*IF(Table1[[#This Row],[Owner]]="Republic", 1, -1)</f>
        <v>-5</v>
      </c>
      <c r="I26" s="3"/>
      <c r="J26" s="3"/>
      <c r="L26" s="8" t="str">
        <f>IF(LEN(Table2[[#This Row],[Action]])=0, "", INDEX(helper!$F$11:$F$25, MATCH(Table2[[#This Row],[Action]], helper!$G$11:$G$25, 0), 1))</f>
        <v/>
      </c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</row>
    <row r="27" spans="1:39" x14ac:dyDescent="0.25">
      <c r="A27" s="3"/>
      <c r="B27" s="3"/>
      <c r="C27" t="s">
        <v>10</v>
      </c>
      <c r="D27" t="s">
        <v>19</v>
      </c>
      <c r="E27" t="s">
        <v>33</v>
      </c>
      <c r="F27">
        <f>INDEX(helper!$B$4:$B$7, MATCH(Table1[[#This Row],[Type]], helper!$A$4:$A$7, 0), 1)</f>
        <v>7</v>
      </c>
      <c r="G27">
        <f>helper!$B$2+Table1[[#This Row],[AP Bonus]]</f>
        <v>12</v>
      </c>
      <c r="H27" s="3">
        <f>Table1[[#This Row],[AP Per Turn]]*IF(Table1[[#This Row],[Owner]]="Republic", 1, -1)</f>
        <v>12</v>
      </c>
      <c r="I27" s="3"/>
      <c r="J27" s="3"/>
      <c r="L27" s="8" t="str">
        <f>IF(LEN(Table2[[#This Row],[Action]])=0, "", INDEX(helper!$F$11:$F$25, MATCH(Table2[[#This Row],[Action]], helper!$G$11:$G$25, 0), 1))</f>
        <v/>
      </c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</row>
    <row r="28" spans="1:39" x14ac:dyDescent="0.25">
      <c r="A28" s="3"/>
      <c r="B28" s="3"/>
      <c r="C28" t="s">
        <v>11</v>
      </c>
      <c r="D28" t="s">
        <v>20</v>
      </c>
      <c r="E28" t="s">
        <v>33</v>
      </c>
      <c r="F28">
        <f>INDEX(helper!$B$4:$B$7, MATCH(Table1[[#This Row],[Type]], helper!$A$4:$A$7, 0), 1)</f>
        <v>5</v>
      </c>
      <c r="G28">
        <f>helper!$B$2+Table1[[#This Row],[AP Bonus]]</f>
        <v>10</v>
      </c>
      <c r="H28" s="3">
        <f>Table1[[#This Row],[AP Per Turn]]*IF(Table1[[#This Row],[Owner]]="Republic", 1, -1)</f>
        <v>10</v>
      </c>
      <c r="I28" s="3"/>
      <c r="J28" s="3"/>
      <c r="L28" s="8" t="str">
        <f>IF(LEN(Table2[[#This Row],[Action]])=0, "", INDEX(helper!$F$11:$F$25, MATCH(Table2[[#This Row],[Action]], helper!$G$11:$G$25, 0), 1))</f>
        <v/>
      </c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</row>
    <row r="29" spans="1:39" x14ac:dyDescent="0.25">
      <c r="A29" s="3"/>
      <c r="B29" s="3"/>
      <c r="C29" t="s">
        <v>17</v>
      </c>
      <c r="D29" t="s">
        <v>32</v>
      </c>
      <c r="E29" t="s">
        <v>33</v>
      </c>
      <c r="F29">
        <f>INDEX(helper!$B$4:$B$7, MATCH(Table1[[#This Row],[Type]], helper!$A$4:$A$7, 0), 1)</f>
        <v>3</v>
      </c>
      <c r="G29">
        <f>helper!$B$2+Table1[[#This Row],[AP Bonus]]</f>
        <v>8</v>
      </c>
      <c r="H29" s="3">
        <f>Table1[[#This Row],[AP Per Turn]]*IF(Table1[[#This Row],[Owner]]="Republic", 1, -1)</f>
        <v>8</v>
      </c>
      <c r="I29" s="3"/>
      <c r="J29" s="3"/>
      <c r="L29" s="8" t="str">
        <f>IF(LEN(Table2[[#This Row],[Action]])=0, "", INDEX(helper!$F$11:$F$25, MATCH(Table2[[#This Row],[Action]], helper!$G$11:$G$25, 0), 1))</f>
        <v/>
      </c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</row>
    <row r="30" spans="1:39" x14ac:dyDescent="0.25">
      <c r="A30" s="3"/>
      <c r="B30" s="3"/>
      <c r="C30" t="s">
        <v>12</v>
      </c>
      <c r="D30" t="s">
        <v>32</v>
      </c>
      <c r="E30" t="s">
        <v>33</v>
      </c>
      <c r="F30">
        <f>INDEX(helper!$B$4:$B$7, MATCH(Table1[[#This Row],[Type]], helper!$A$4:$A$7, 0), 1)</f>
        <v>3</v>
      </c>
      <c r="G30">
        <f>helper!$B$2+Table1[[#This Row],[AP Bonus]]</f>
        <v>8</v>
      </c>
      <c r="H30" s="3">
        <f>Table1[[#This Row],[AP Per Turn]]*IF(Table1[[#This Row],[Owner]]="Republic", 1, -1)</f>
        <v>8</v>
      </c>
      <c r="I30" s="3"/>
      <c r="J30" s="3"/>
      <c r="L30" s="8" t="str">
        <f>IF(LEN(Table2[[#This Row],[Action]])=0, "", INDEX(helper!$F$11:$F$25, MATCH(Table2[[#This Row],[Action]], helper!$G$11:$G$25, 0), 1))</f>
        <v/>
      </c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</row>
    <row r="31" spans="1:39" x14ac:dyDescent="0.25">
      <c r="A31" s="3"/>
      <c r="B31" s="3"/>
      <c r="C31" t="s">
        <v>13</v>
      </c>
      <c r="D31" t="s">
        <v>21</v>
      </c>
      <c r="E31" t="s">
        <v>33</v>
      </c>
      <c r="F31">
        <f>INDEX(helper!$B$4:$B$7, MATCH(Table1[[#This Row],[Type]], helper!$A$4:$A$7, 0), 1)</f>
        <v>0</v>
      </c>
      <c r="G31">
        <f>helper!$B$2+Table1[[#This Row],[AP Bonus]]</f>
        <v>5</v>
      </c>
      <c r="H31" s="3">
        <f>Table1[[#This Row],[AP Per Turn]]*IF(Table1[[#This Row],[Owner]]="Republic", 1, -1)</f>
        <v>5</v>
      </c>
      <c r="I31" s="3"/>
      <c r="J31" s="3"/>
      <c r="L31" s="8" t="str">
        <f>IF(LEN(Table2[[#This Row],[Action]])=0, "", INDEX(helper!$F$11:$F$25, MATCH(Table2[[#This Row],[Action]], helper!$G$11:$G$25, 0), 1))</f>
        <v/>
      </c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</row>
    <row r="32" spans="1:39" x14ac:dyDescent="0.25">
      <c r="A32" s="3"/>
      <c r="B32" s="3"/>
      <c r="C32" t="s">
        <v>14</v>
      </c>
      <c r="D32" t="s">
        <v>21</v>
      </c>
      <c r="E32" t="s">
        <v>33</v>
      </c>
      <c r="F32">
        <f>INDEX(helper!$B$4:$B$7, MATCH(Table1[[#This Row],[Type]], helper!$A$4:$A$7, 0), 1)</f>
        <v>0</v>
      </c>
      <c r="G32">
        <f>helper!$B$2+Table1[[#This Row],[AP Bonus]]</f>
        <v>5</v>
      </c>
      <c r="H32" s="3">
        <f>Table1[[#This Row],[AP Per Turn]]*IF(Table1[[#This Row],[Owner]]="Republic", 1, -1)</f>
        <v>5</v>
      </c>
      <c r="I32" s="3"/>
      <c r="J32" s="3"/>
      <c r="L32" s="8" t="str">
        <f>IF(LEN(Table2[[#This Row],[Action]])=0, "", INDEX(helper!$F$11:$F$25, MATCH(Table2[[#This Row],[Action]], helper!$G$11:$G$25, 0), 1))</f>
        <v/>
      </c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</row>
    <row r="33" spans="1:39" x14ac:dyDescent="0.25">
      <c r="A33" s="3"/>
      <c r="B33" s="3"/>
      <c r="C33" t="s">
        <v>18</v>
      </c>
      <c r="D33" t="s">
        <v>21</v>
      </c>
      <c r="E33" t="s">
        <v>33</v>
      </c>
      <c r="F33">
        <f>INDEX(helper!$B$4:$B$7, MATCH(Table1[[#This Row],[Type]], helper!$A$4:$A$7, 0), 1)</f>
        <v>0</v>
      </c>
      <c r="G33">
        <f>helper!$B$2+Table1[[#This Row],[AP Bonus]]</f>
        <v>5</v>
      </c>
      <c r="H33" s="3">
        <f>Table1[[#This Row],[AP Per Turn]]*IF(Table1[[#This Row],[Owner]]="Republic", 1, -1)</f>
        <v>5</v>
      </c>
      <c r="I33" s="3"/>
      <c r="J33" s="3"/>
      <c r="L33" s="8" t="str">
        <f>IF(LEN(Table2[[#This Row],[Action]])=0, "", INDEX(helper!$F$11:$F$25, MATCH(Table2[[#This Row],[Action]], helper!$G$11:$G$25, 0), 1))</f>
        <v/>
      </c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</row>
    <row r="34" spans="1:39" x14ac:dyDescent="0.25">
      <c r="A34" s="3"/>
      <c r="B34" s="3"/>
      <c r="C34" t="s">
        <v>15</v>
      </c>
      <c r="D34" t="s">
        <v>21</v>
      </c>
      <c r="E34" t="s">
        <v>33</v>
      </c>
      <c r="F34">
        <f>INDEX(helper!$B$4:$B$7, MATCH(Table1[[#This Row],[Type]], helper!$A$4:$A$7, 0), 1)</f>
        <v>0</v>
      </c>
      <c r="G34">
        <f>helper!$B$2+Table1[[#This Row],[AP Bonus]]</f>
        <v>5</v>
      </c>
      <c r="H34" s="3">
        <f>Table1[[#This Row],[AP Per Turn]]*IF(Table1[[#This Row],[Owner]]="Republic", 1, -1)</f>
        <v>5</v>
      </c>
      <c r="I34" s="3"/>
      <c r="J34" s="3"/>
      <c r="L34" s="8" t="str">
        <f>IF(LEN(Table2[[#This Row],[Action]])=0, "", INDEX(helper!$F$11:$F$25, MATCH(Table2[[#This Row],[Action]], helper!$G$11:$G$25, 0), 1))</f>
        <v/>
      </c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</row>
    <row r="35" spans="1:39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</row>
    <row r="36" spans="1:39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</row>
    <row r="37" spans="1:39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</row>
    <row r="38" spans="1:39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</row>
    <row r="39" spans="1:39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</row>
    <row r="40" spans="1:39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</row>
    <row r="41" spans="1:39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</row>
    <row r="42" spans="1:39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</row>
    <row r="43" spans="1:39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</row>
    <row r="44" spans="1:39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</row>
    <row r="45" spans="1:39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</row>
    <row r="46" spans="1:39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</row>
    <row r="47" spans="1:39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</row>
    <row r="48" spans="1:39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</row>
    <row r="49" spans="1:39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</row>
    <row r="50" spans="1:39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</row>
    <row r="51" spans="1:39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</row>
    <row r="52" spans="1:39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</row>
    <row r="53" spans="1:39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</row>
    <row r="54" spans="1:39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</row>
    <row r="55" spans="1:39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</row>
    <row r="56" spans="1:39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</row>
    <row r="57" spans="1:39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</row>
    <row r="58" spans="1:39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</row>
    <row r="59" spans="1:39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</row>
    <row r="60" spans="1:39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</row>
    <row r="61" spans="1:39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</row>
    <row r="62" spans="1:39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</row>
    <row r="63" spans="1:39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</row>
    <row r="64" spans="1:39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</row>
    <row r="65" spans="1:39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</row>
    <row r="66" spans="1:39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</row>
    <row r="67" spans="1:39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</row>
    <row r="68" spans="1:39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</row>
    <row r="69" spans="1:39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</row>
    <row r="70" spans="1:39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</row>
    <row r="71" spans="1:39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</row>
    <row r="72" spans="1:39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</row>
    <row r="73" spans="1:39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</row>
    <row r="74" spans="1:39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</row>
    <row r="75" spans="1:39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</row>
    <row r="76" spans="1:39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</row>
    <row r="77" spans="1:39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</row>
    <row r="78" spans="1:39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</row>
    <row r="79" spans="1:39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</row>
    <row r="80" spans="1:39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</row>
    <row r="81" spans="1:39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</row>
    <row r="82" spans="1:39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</row>
    <row r="83" spans="1:39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</row>
    <row r="84" spans="1:39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</row>
    <row r="85" spans="1:39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</row>
    <row r="86" spans="1:39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</row>
    <row r="87" spans="1:39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</row>
    <row r="88" spans="1:39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</row>
    <row r="89" spans="1:39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</row>
    <row r="90" spans="1:39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</row>
    <row r="91" spans="1:39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</row>
    <row r="92" spans="1:39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</row>
    <row r="93" spans="1:39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</row>
    <row r="94" spans="1:39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</row>
    <row r="95" spans="1:39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</row>
    <row r="96" spans="1:39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</row>
    <row r="97" spans="1:39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</row>
    <row r="98" spans="1:39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</row>
    <row r="99" spans="1:39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</row>
    <row r="100" spans="1:39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</row>
  </sheetData>
  <protectedRanges>
    <protectedRange algorithmName="SHA-512" hashValue="i/ZdU9J+5HSy+3w7iF3+vVI7CyEffThGzFIXrJSMDsEJH8d1n7whZy5Exv+a7E2VEH0oI1MYA78dVWT1nM9Y0w==" saltValue="ifWrgArUVEql35fuDuFrmw==" spinCount="100000" sqref="L20:L34" name="Range1"/>
  </protectedRanges>
  <mergeCells count="2">
    <mergeCell ref="K6:O13"/>
    <mergeCell ref="C10:G10"/>
  </mergeCells>
  <conditionalFormatting sqref="H19:H34">
    <cfRule type="dataBar" priority="1">
      <dataBar showValue="0">
        <cfvo type="formula" val="MAX($G$19:$G$34)*-1"/>
        <cfvo type="formula" val="MAX($G$19:$G$34)"/>
        <color rgb="FF0092E3"/>
      </dataBar>
      <extLst>
        <ext xmlns:x14="http://schemas.microsoft.com/office/spreadsheetml/2009/9/main" uri="{B025F937-C7B1-47D3-B67F-A62EFF666E3E}">
          <x14:id>{6381C700-3B06-4C87-B836-C43AA00DDC00}</x14:id>
        </ext>
      </extLst>
    </cfRule>
  </conditionalFormatting>
  <conditionalFormatting sqref="K18 E19:E34">
    <cfRule type="cellIs" dxfId="16" priority="6" operator="equal">
      <formula>"Republic"</formula>
    </cfRule>
    <cfRule type="cellIs" dxfId="15" priority="8" operator="equal">
      <formula>"CIS"</formula>
    </cfRule>
  </conditionalFormatting>
  <conditionalFormatting sqref="L18:M18">
    <cfRule type="expression" dxfId="14" priority="4">
      <formula>$K$18="CIS"</formula>
    </cfRule>
    <cfRule type="expression" dxfId="13" priority="5">
      <formula>$K$18="Republic"</formula>
    </cfRule>
  </conditionalFormatting>
  <dataValidations count="3">
    <dataValidation type="list" allowBlank="1" showInputMessage="1" showErrorMessage="1" sqref="D19:D34" xr:uid="{86BF9BAB-9D44-4AD4-8D2C-2D340687A3A2}">
      <formula1>"Capital, Production Hub, Shipyard, Stronghold"</formula1>
    </dataValidation>
    <dataValidation type="list" allowBlank="1" showInputMessage="1" showErrorMessage="1" sqref="E19:E34" xr:uid="{F4F983FE-E62C-46AE-B1DF-E1C1CA575120}">
      <formula1>"CIS, Republic"</formula1>
    </dataValidation>
    <dataValidation type="list" allowBlank="1" showInputMessage="1" showErrorMessage="1" sqref="K18" xr:uid="{066A14D1-14E2-494D-8718-B5ABDEDA28A8}">
      <formula1>$C$12:$C$13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NextTurn">
                <anchor moveWithCells="1" sizeWithCells="1">
                  <from>
                    <xdr:col>10</xdr:col>
                    <xdr:colOff>38100</xdr:colOff>
                    <xdr:row>13</xdr:row>
                    <xdr:rowOff>133350</xdr:rowOff>
                  </from>
                  <to>
                    <xdr:col>12</xdr:col>
                    <xdr:colOff>752475</xdr:colOff>
                    <xdr:row>15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381C700-3B06-4C87-B836-C43AA00DDC00}">
            <x14:dataBar minLength="0" maxLength="100" gradient="0" axisPosition="middle">
              <x14:cfvo type="formula">
                <xm:f>MAX($G$19:$G$34)*-1</xm:f>
              </x14:cfvo>
              <x14:cfvo type="formula">
                <xm:f>MAX($G$19:$G$34)</xm:f>
              </x14:cfvo>
              <x14:negativeFillColor rgb="FFC8AA11"/>
              <x14:axisColor theme="0"/>
            </x14:dataBar>
          </x14:cfRule>
          <xm:sqref>H19:H34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360CCA8-4688-488B-931A-5224B0D1F2C4}">
          <x14:formula1>
            <xm:f>helper!$G$11:$G$25</xm:f>
          </x14:formula1>
          <xm:sqref>K20:K34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C307A-94A4-4A7A-9743-D290C84473F8}">
  <sheetPr codeName="helperSheet"/>
  <dimension ref="A1:K23"/>
  <sheetViews>
    <sheetView workbookViewId="0">
      <selection activeCell="F5" sqref="F5:G5"/>
    </sheetView>
  </sheetViews>
  <sheetFormatPr defaultRowHeight="15" x14ac:dyDescent="0.25"/>
  <cols>
    <col min="1" max="1" width="22.140625" bestFit="1" customWidth="1"/>
    <col min="5" max="5" width="19.28515625" bestFit="1" customWidth="1"/>
    <col min="7" max="7" width="22.85546875" bestFit="1" customWidth="1"/>
  </cols>
  <sheetData>
    <row r="1" spans="1:11" ht="20.25" thickBot="1" x14ac:dyDescent="0.35">
      <c r="A1" s="18" t="s">
        <v>24</v>
      </c>
      <c r="B1" s="18"/>
      <c r="E1" s="18" t="s">
        <v>25</v>
      </c>
      <c r="F1" s="18"/>
    </row>
    <row r="2" spans="1:11" ht="15.75" thickTop="1" x14ac:dyDescent="0.25">
      <c r="A2" t="s">
        <v>23</v>
      </c>
      <c r="B2">
        <v>5</v>
      </c>
      <c r="E2" t="s">
        <v>28</v>
      </c>
      <c r="F2">
        <v>5</v>
      </c>
    </row>
    <row r="3" spans="1:11" ht="18" thickBot="1" x14ac:dyDescent="0.35">
      <c r="A3" s="19" t="s">
        <v>31</v>
      </c>
      <c r="B3" s="19"/>
      <c r="E3" t="s">
        <v>26</v>
      </c>
      <c r="F3">
        <v>-5</v>
      </c>
    </row>
    <row r="4" spans="1:11" ht="18.75" thickTop="1" thickBot="1" x14ac:dyDescent="0.35">
      <c r="A4" t="s">
        <v>19</v>
      </c>
      <c r="B4">
        <v>7</v>
      </c>
      <c r="E4" s="19" t="s">
        <v>27</v>
      </c>
      <c r="F4" s="19"/>
      <c r="G4" s="11">
        <v>2.5</v>
      </c>
    </row>
    <row r="5" spans="1:11" ht="15.75" thickTop="1" x14ac:dyDescent="0.25">
      <c r="A5" t="s">
        <v>20</v>
      </c>
      <c r="B5">
        <v>5</v>
      </c>
      <c r="E5">
        <v>1</v>
      </c>
      <c r="F5" s="20">
        <f>ROUNDDOWN(POWER($G$4, $E5)/2 + $F$2, 0)</f>
        <v>6</v>
      </c>
      <c r="G5" s="20"/>
      <c r="K5">
        <f>ROUNDDOWN(POWER($G$4, $E5)/2 + $F$2, 0)</f>
        <v>6</v>
      </c>
    </row>
    <row r="6" spans="1:11" x14ac:dyDescent="0.25">
      <c r="A6" t="s">
        <v>32</v>
      </c>
      <c r="B6">
        <v>3</v>
      </c>
      <c r="E6">
        <v>2</v>
      </c>
      <c r="F6" s="20">
        <f t="shared" ref="F6:F9" si="0">ROUNDDOWN(POWER($G$4, $E6)/2 + $F$2, 0)</f>
        <v>8</v>
      </c>
      <c r="G6" s="20"/>
    </row>
    <row r="7" spans="1:11" x14ac:dyDescent="0.25">
      <c r="A7" t="s">
        <v>21</v>
      </c>
      <c r="B7">
        <v>0</v>
      </c>
      <c r="E7">
        <v>3</v>
      </c>
      <c r="F7" s="20">
        <f t="shared" si="0"/>
        <v>12</v>
      </c>
      <c r="G7" s="20"/>
    </row>
    <row r="8" spans="1:11" ht="18" thickBot="1" x14ac:dyDescent="0.35">
      <c r="A8" s="19" t="s">
        <v>60</v>
      </c>
      <c r="B8" s="19"/>
      <c r="E8">
        <v>4</v>
      </c>
      <c r="F8" s="20">
        <f t="shared" si="0"/>
        <v>24</v>
      </c>
      <c r="G8" s="20"/>
    </row>
    <row r="9" spans="1:11" ht="15.75" thickTop="1" x14ac:dyDescent="0.25">
      <c r="A9" t="s">
        <v>59</v>
      </c>
      <c r="B9" s="13">
        <v>0.5</v>
      </c>
      <c r="E9">
        <v>5</v>
      </c>
      <c r="F9" s="20">
        <f t="shared" si="0"/>
        <v>53</v>
      </c>
      <c r="G9" s="20"/>
    </row>
    <row r="10" spans="1:11" ht="18" thickBot="1" x14ac:dyDescent="0.35">
      <c r="E10" s="19" t="s">
        <v>42</v>
      </c>
      <c r="F10" s="19"/>
      <c r="G10" s="19"/>
    </row>
    <row r="11" spans="1:11" ht="15.75" thickTop="1" x14ac:dyDescent="0.25">
      <c r="E11" t="s">
        <v>43</v>
      </c>
      <c r="F11">
        <v>15</v>
      </c>
      <c r="G11" s="9" t="str">
        <f>E11 &amp; " " &amp; "(" &amp; F11 &amp; ")"</f>
        <v>Build Fleet (15)</v>
      </c>
    </row>
    <row r="12" spans="1:11" x14ac:dyDescent="0.25">
      <c r="E12" t="s">
        <v>44</v>
      </c>
      <c r="F12">
        <v>15</v>
      </c>
      <c r="G12" s="9" t="str">
        <f t="shared" ref="G12:G23" si="1">E12 &amp; " " &amp; "(" &amp; F12 &amp; ")"</f>
        <v>Fortify Planet (15)</v>
      </c>
    </row>
    <row r="13" spans="1:11" x14ac:dyDescent="0.25">
      <c r="E13" t="s">
        <v>50</v>
      </c>
      <c r="F13">
        <v>10</v>
      </c>
      <c r="G13" s="9" t="str">
        <f t="shared" si="1"/>
        <v>Attack (10)</v>
      </c>
    </row>
    <row r="14" spans="1:11" x14ac:dyDescent="0.25">
      <c r="E14" t="s">
        <v>45</v>
      </c>
      <c r="F14">
        <f>ROUNDDOWN(INDEX($F$5:$F$9, MATCH(VALUE(RIGHT($E14, 1)), $E$5:$E$9, 0), 1) * IF(ISERROR(FIND("Hyperspace", $E14)), 1, 0.5), 0)</f>
        <v>6</v>
      </c>
      <c r="G14" s="9" t="str">
        <f t="shared" si="1"/>
        <v>Move 1 (6)</v>
      </c>
    </row>
    <row r="15" spans="1:11" x14ac:dyDescent="0.25">
      <c r="E15" t="s">
        <v>46</v>
      </c>
      <c r="F15">
        <f t="shared" ref="F15:F23" si="2">ROUNDDOWN(INDEX($F$5:$F$9, MATCH(VALUE(RIGHT($E15, 1)), $E$5:$E$9, 0), 1) * IF(ISERROR(FIND("Hyperspace", $E15)), 1, 0.5), 0)</f>
        <v>8</v>
      </c>
      <c r="G15" s="9" t="str">
        <f t="shared" si="1"/>
        <v>Move 2 (8)</v>
      </c>
    </row>
    <row r="16" spans="1:11" x14ac:dyDescent="0.25">
      <c r="E16" t="s">
        <v>47</v>
      </c>
      <c r="F16">
        <f t="shared" si="2"/>
        <v>12</v>
      </c>
      <c r="G16" s="9" t="str">
        <f t="shared" si="1"/>
        <v>Move 3 (12)</v>
      </c>
    </row>
    <row r="17" spans="5:7" x14ac:dyDescent="0.25">
      <c r="E17" t="s">
        <v>48</v>
      </c>
      <c r="F17">
        <f t="shared" si="2"/>
        <v>24</v>
      </c>
      <c r="G17" s="9" t="str">
        <f t="shared" si="1"/>
        <v>Move 4 (24)</v>
      </c>
    </row>
    <row r="18" spans="5:7" x14ac:dyDescent="0.25">
      <c r="E18" t="s">
        <v>49</v>
      </c>
      <c r="F18">
        <f t="shared" si="2"/>
        <v>53</v>
      </c>
      <c r="G18" s="9" t="str">
        <f t="shared" si="1"/>
        <v>Move 5 (53)</v>
      </c>
    </row>
    <row r="19" spans="5:7" x14ac:dyDescent="0.25">
      <c r="E19" t="s">
        <v>51</v>
      </c>
      <c r="F19">
        <f t="shared" si="2"/>
        <v>3</v>
      </c>
      <c r="G19" s="9" t="str">
        <f t="shared" si="1"/>
        <v>Hyperspace Move 1 (3)</v>
      </c>
    </row>
    <row r="20" spans="5:7" x14ac:dyDescent="0.25">
      <c r="E20" t="s">
        <v>52</v>
      </c>
      <c r="F20">
        <f t="shared" si="2"/>
        <v>4</v>
      </c>
      <c r="G20" s="9" t="str">
        <f t="shared" si="1"/>
        <v>Hyperspace Move 2 (4)</v>
      </c>
    </row>
    <row r="21" spans="5:7" x14ac:dyDescent="0.25">
      <c r="E21" t="s">
        <v>53</v>
      </c>
      <c r="F21">
        <f t="shared" si="2"/>
        <v>6</v>
      </c>
      <c r="G21" s="9" t="str">
        <f t="shared" si="1"/>
        <v>Hyperspace Move 3 (6)</v>
      </c>
    </row>
    <row r="22" spans="5:7" x14ac:dyDescent="0.25">
      <c r="E22" t="s">
        <v>54</v>
      </c>
      <c r="F22">
        <f t="shared" si="2"/>
        <v>12</v>
      </c>
      <c r="G22" s="9" t="str">
        <f t="shared" si="1"/>
        <v>Hyperspace Move 4 (12)</v>
      </c>
    </row>
    <row r="23" spans="5:7" x14ac:dyDescent="0.25">
      <c r="E23" t="s">
        <v>55</v>
      </c>
      <c r="F23">
        <f t="shared" si="2"/>
        <v>26</v>
      </c>
      <c r="G23" s="9" t="str">
        <f t="shared" si="1"/>
        <v>Hyperspace Move 5 (26)</v>
      </c>
    </row>
  </sheetData>
  <mergeCells count="11">
    <mergeCell ref="A1:B1"/>
    <mergeCell ref="E1:F1"/>
    <mergeCell ref="E4:F4"/>
    <mergeCell ref="A3:B3"/>
    <mergeCell ref="E10:G10"/>
    <mergeCell ref="F5:G5"/>
    <mergeCell ref="F6:G6"/>
    <mergeCell ref="F7:G7"/>
    <mergeCell ref="F8:G8"/>
    <mergeCell ref="F9:G9"/>
    <mergeCell ref="A8:B8"/>
  </mergeCells>
  <phoneticPr fontId="5" type="noConversion"/>
  <conditionalFormatting sqref="F5:F9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{57ED7B4D-6F9D-4BF4-9C0D-A5776ECCB857}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ED7B4D-6F9D-4BF4-9C0D-A5776ECCB8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F5:F9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planets</vt:lpstr>
      <vt:lpstr>helper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Brett Abraham</dc:creator>
  <cp:lastModifiedBy>Brett Abraham</cp:lastModifiedBy>
  <dcterms:created xsi:type="dcterms:W3CDTF">2024-10-31T22:51:43Z</dcterms:created>
  <dcterms:modified xsi:type="dcterms:W3CDTF">2025-05-18T23:16:52Z</dcterms:modified>
</cp:coreProperties>
</file>